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marthgarg/Downloads/costing_app-main/assets/"/>
    </mc:Choice>
  </mc:AlternateContent>
  <xr:revisionPtr revIDLastSave="0" documentId="13_ncr:1_{10E8F5AC-C02A-BF44-ABC8-A56F0093CBDE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Multicore Copper Cable" sheetId="1" r:id="rId1"/>
    <sheet name="Multistrand Copper W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2" i="2"/>
  <c r="F3" i="2"/>
  <c r="F4" i="2"/>
  <c r="F5" i="2"/>
  <c r="F6" i="2"/>
  <c r="F7" i="2"/>
  <c r="F8" i="2"/>
  <c r="H2" i="1"/>
  <c r="H3" i="1"/>
  <c r="H4" i="1"/>
  <c r="H5" i="1"/>
  <c r="H6" i="1"/>
  <c r="H7" i="1"/>
  <c r="H8" i="1"/>
  <c r="H9" i="1"/>
  <c r="H10" i="1"/>
  <c r="H11" i="1"/>
  <c r="H12" i="1"/>
  <c r="H13" i="1"/>
  <c r="H3" i="2"/>
  <c r="H4" i="2" s="1"/>
  <c r="H5" i="2" s="1"/>
  <c r="H6" i="2" s="1"/>
  <c r="H7" i="2" s="1"/>
  <c r="H8" i="2" s="1"/>
  <c r="E5" i="2"/>
  <c r="E6" i="2" s="1"/>
  <c r="E7" i="2" s="1"/>
  <c r="E8" i="2" s="1"/>
  <c r="E4" i="2"/>
  <c r="D4" i="2"/>
  <c r="D5" i="2" s="1"/>
  <c r="D6" i="2" s="1"/>
  <c r="D7" i="2" s="1"/>
  <c r="D8" i="2" s="1"/>
  <c r="B3" i="2"/>
  <c r="B4" i="2" s="1"/>
  <c r="J2" i="2"/>
  <c r="K2" i="2" s="1"/>
  <c r="L2" i="2" s="1"/>
  <c r="G3" i="2"/>
  <c r="G4" i="2" s="1"/>
  <c r="G5" i="2" s="1"/>
  <c r="G6" i="2" s="1"/>
  <c r="G7" i="2" s="1"/>
  <c r="G8" i="2" s="1"/>
  <c r="C12" i="1"/>
  <c r="C13" i="1" s="1"/>
  <c r="C9" i="1"/>
  <c r="C10" i="1" s="1"/>
  <c r="I8" i="1"/>
  <c r="C6" i="1"/>
  <c r="C7" i="1" s="1"/>
  <c r="C4" i="1"/>
  <c r="B4" i="1"/>
  <c r="B5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D3" i="1"/>
  <c r="D4" i="1" s="1"/>
  <c r="C3" i="1"/>
  <c r="B3" i="1"/>
  <c r="K3" i="1" s="1"/>
  <c r="K2" i="1"/>
  <c r="N2" i="1" s="1"/>
  <c r="J4" i="2" l="1"/>
  <c r="B5" i="2"/>
  <c r="J3" i="2"/>
  <c r="K3" i="2" s="1"/>
  <c r="L3" i="2" s="1"/>
  <c r="M2" i="2"/>
  <c r="N2" i="2" s="1"/>
  <c r="B6" i="1"/>
  <c r="N3" i="1"/>
  <c r="L3" i="1"/>
  <c r="M3" i="1" s="1"/>
  <c r="O3" i="1" s="1"/>
  <c r="D5" i="1"/>
  <c r="D6" i="1" s="1"/>
  <c r="D7" i="1" s="1"/>
  <c r="D8" i="1" s="1"/>
  <c r="D9" i="1" s="1"/>
  <c r="D10" i="1" s="1"/>
  <c r="D11" i="1" s="1"/>
  <c r="D12" i="1" s="1"/>
  <c r="D13" i="1" s="1"/>
  <c r="K4" i="1"/>
  <c r="L2" i="1"/>
  <c r="M2" i="1" s="1"/>
  <c r="O2" i="1" s="1"/>
  <c r="M3" i="2" l="1"/>
  <c r="J5" i="2"/>
  <c r="B6" i="2"/>
  <c r="N3" i="2"/>
  <c r="N4" i="1"/>
  <c r="L4" i="1"/>
  <c r="M4" i="1" s="1"/>
  <c r="O4" i="1" s="1"/>
  <c r="B7" i="1"/>
  <c r="K6" i="1"/>
  <c r="K5" i="1"/>
  <c r="B7" i="2" l="1"/>
  <c r="J6" i="2"/>
  <c r="M4" i="2"/>
  <c r="K4" i="2"/>
  <c r="L4" i="2" s="1"/>
  <c r="N4" i="2" s="1"/>
  <c r="N5" i="1"/>
  <c r="L5" i="1"/>
  <c r="M5" i="1" s="1"/>
  <c r="O5" i="1" s="1"/>
  <c r="L6" i="1"/>
  <c r="M6" i="1" s="1"/>
  <c r="N6" i="1"/>
  <c r="K7" i="1"/>
  <c r="B8" i="1"/>
  <c r="B8" i="2" l="1"/>
  <c r="J8" i="2" s="1"/>
  <c r="J7" i="2"/>
  <c r="M5" i="2"/>
  <c r="K5" i="2"/>
  <c r="L5" i="2" s="1"/>
  <c r="N5" i="2" s="1"/>
  <c r="B9" i="1"/>
  <c r="K8" i="1"/>
  <c r="N7" i="1"/>
  <c r="L7" i="1"/>
  <c r="M7" i="1" s="1"/>
  <c r="O7" i="1" s="1"/>
  <c r="O6" i="1"/>
  <c r="M6" i="2" l="1"/>
  <c r="K6" i="2"/>
  <c r="L6" i="2" s="1"/>
  <c r="N8" i="1"/>
  <c r="L8" i="1"/>
  <c r="M8" i="1" s="1"/>
  <c r="O8" i="1" s="1"/>
  <c r="K9" i="1"/>
  <c r="B10" i="1"/>
  <c r="N6" i="2" l="1"/>
  <c r="M7" i="2"/>
  <c r="K7" i="2"/>
  <c r="L7" i="2" s="1"/>
  <c r="B11" i="1"/>
  <c r="K10" i="1"/>
  <c r="N9" i="1"/>
  <c r="L9" i="1"/>
  <c r="M9" i="1" s="1"/>
  <c r="O9" i="1" s="1"/>
  <c r="N7" i="2" l="1"/>
  <c r="M8" i="2"/>
  <c r="K8" i="2"/>
  <c r="L8" i="2" s="1"/>
  <c r="N8" i="2" s="1"/>
  <c r="N10" i="1"/>
  <c r="L10" i="1"/>
  <c r="M10" i="1" s="1"/>
  <c r="O10" i="1" s="1"/>
  <c r="K11" i="1"/>
  <c r="B12" i="1"/>
  <c r="N11" i="1" l="1"/>
  <c r="L11" i="1"/>
  <c r="M11" i="1" s="1"/>
  <c r="O11" i="1" s="1"/>
  <c r="K12" i="1"/>
  <c r="B13" i="1"/>
  <c r="K13" i="1" s="1"/>
  <c r="N12" i="1" l="1"/>
  <c r="L12" i="1"/>
  <c r="M12" i="1" s="1"/>
  <c r="O12" i="1" s="1"/>
  <c r="N13" i="1"/>
  <c r="L13" i="1"/>
  <c r="M13" i="1" s="1"/>
  <c r="O13" i="1" s="1"/>
</calcChain>
</file>

<file path=xl/sharedStrings.xml><?xml version="1.0" encoding="utf-8"?>
<sst xmlns="http://schemas.openxmlformats.org/spreadsheetml/2006/main" count="50" uniqueCount="35">
  <si>
    <t>product_name</t>
  </si>
  <si>
    <t>gauge</t>
  </si>
  <si>
    <t>strands</t>
  </si>
  <si>
    <t>cores</t>
  </si>
  <si>
    <t>length_gaj</t>
  </si>
  <si>
    <t>coil_weight_kg</t>
  </si>
  <si>
    <t>metal_rate_per_kg</t>
  </si>
  <si>
    <t>pvc_rate_per_kg</t>
  </si>
  <si>
    <t>labour_type</t>
  </si>
  <si>
    <t>labour_value</t>
  </si>
  <si>
    <t>1.0 Sq.mm. x 2C</t>
  </si>
  <si>
    <t>1.0 Sq.mm. x 3C</t>
  </si>
  <si>
    <t>1.0 Sq.mm. x 4C</t>
  </si>
  <si>
    <t>1.5 Sq.mm. x 2C</t>
  </si>
  <si>
    <t>1.5 Sq.mm. x 3C</t>
  </si>
  <si>
    <t>1.5 Sq.mm. x 4C</t>
  </si>
  <si>
    <t>2.5 Sq.mm. x 2C</t>
  </si>
  <si>
    <t>2.5 Sq.mm. x 3C</t>
  </si>
  <si>
    <t>2.5 Sq.mm. x 4C</t>
  </si>
  <si>
    <t>4.0 Sq.mm. x 2C</t>
  </si>
  <si>
    <t>4.0 Sq.mm. x 3C</t>
  </si>
  <si>
    <t>4.0 Sq.mm. x 4C</t>
  </si>
  <si>
    <t>0.75 Sq.mm.</t>
  </si>
  <si>
    <t>1.0 Sq.mm.</t>
  </si>
  <si>
    <t>1.5 Sq.mm.</t>
  </si>
  <si>
    <t>2.5 Sq.mm.</t>
  </si>
  <si>
    <t>4.0 Sq.mm.</t>
  </si>
  <si>
    <t>6.0 Sq.mm.</t>
  </si>
  <si>
    <t>10.0 Sq.mm.</t>
  </si>
  <si>
    <t>percent</t>
  </si>
  <si>
    <t>metal_weight_kg</t>
  </si>
  <si>
    <t>pvc_weight_kg</t>
  </si>
  <si>
    <t>pvc_cost</t>
  </si>
  <si>
    <t>metal_cost</t>
  </si>
  <si>
    <t>manufacuturing_cost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</si>
</sst>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73F4C1-D7BB-2F42-8894-C7C6448CB3F4}" name="Table2" displayName="Table2" ref="A1:O13" totalsRowShown="0" headerRowDxfId="30">
  <autoFilter ref="A1:O13" xr:uid="{6D73F4C1-D7BB-2F42-8894-C7C6448CB3F4}"/>
  <tableColumns count="15">
    <tableColumn id="1" xr3:uid="{DECD0681-4B7E-FE49-A431-697C650573DD}" name="product_name" dataDxfId="29"/>
    <tableColumn id="2" xr3:uid="{A139DB2A-B614-DE4D-8370-4EF042D25FB3}" name="gauge" dataDxfId="28">
      <calculatedColumnFormula>B1</calculatedColumnFormula>
    </tableColumn>
    <tableColumn id="3" xr3:uid="{5F937F05-9055-DE45-8723-5A4D87B152F1}" name="strands" dataDxfId="27">
      <calculatedColumnFormula>C1</calculatedColumnFormula>
    </tableColumn>
    <tableColumn id="4" xr3:uid="{8E979F91-27E2-5E45-83C2-735E085F8D6B}" name="length_gaj" dataDxfId="26">
      <calculatedColumnFormula>D1</calculatedColumnFormula>
    </tableColumn>
    <tableColumn id="5" xr3:uid="{CB790185-0EFC-4F4B-9992-71DA9FB8755B}" name="pvc_rate_per_kg" dataDxfId="25">
      <calculatedColumnFormula>E1</calculatedColumnFormula>
    </tableColumn>
    <tableColumn id="6" xr3:uid="{BCB6AF8A-C203-EE42-B312-EB63EC0D2B50}" name="metal_rate_per_kg" dataDxfId="0">
      <calculatedColumnFormula>1350</calculatedColumnFormula>
    </tableColumn>
    <tableColumn id="7" xr3:uid="{F927B40A-A993-B64D-BF4C-C57072447C65}" name="labour_type" dataDxfId="24">
      <calculatedColumnFormula>G1</calculatedColumnFormula>
    </tableColumn>
    <tableColumn id="8" xr3:uid="{6D809D20-BB41-AC43-A822-B62FB3EDD1F1}" name="labour_value" dataDxfId="23">
      <calculatedColumnFormula>4</calculatedColumnFormula>
    </tableColumn>
    <tableColumn id="9" xr3:uid="{1E16EEDC-A768-044B-B57E-D839AE7C56A2}" name="coil_weight_kg" dataDxfId="22"/>
    <tableColumn id="10" xr3:uid="{B6D2ED62-5150-4B4D-90F9-25322CCF0CA1}" name="cores" dataDxfId="21"/>
    <tableColumn id="11" xr3:uid="{4AB15B73-B76D-BC4A-AC2F-BFB239484584}" name="metal_weight_kg" dataDxfId="20">
      <calculatedColumnFormula>(B2^2*412*C2*D2*J2)/100000000</calculatedColumnFormula>
    </tableColumn>
    <tableColumn id="12" xr3:uid="{5692922B-3D28-9A40-813C-2C9ECA5ECB29}" name="pvc_weight_kg" dataDxfId="19">
      <calculatedColumnFormula>I2-K2</calculatedColumnFormula>
    </tableColumn>
    <tableColumn id="13" xr3:uid="{80EF9973-52F7-6144-B9C3-9975D042AF68}" name="pvc_cost" dataDxfId="18">
      <calculatedColumnFormula>L2*E2</calculatedColumnFormula>
    </tableColumn>
    <tableColumn id="14" xr3:uid="{9DEFD2D2-F7C6-ED46-8D0B-2ACDC37E4038}" name="metal_cost" dataDxfId="17">
      <calculatedColumnFormula>K2*F2</calculatedColumnFormula>
    </tableColumn>
    <tableColumn id="15" xr3:uid="{ED1D8DC5-9C83-784B-9BD0-8A07A8251947}" name="manufacuturing_cost" dataDxfId="16">
      <calculatedColumnFormula>(M2+N2)*(1+H2)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8E706E-FC91-774B-92A8-F9F9AEF3A5F6}" name="Table25" displayName="Table25" ref="A1:N8" totalsRowShown="0" headerRowDxfId="15">
  <autoFilter ref="A1:N8" xr:uid="{988E706E-FC91-774B-92A8-F9F9AEF3A5F6}"/>
  <tableColumns count="14">
    <tableColumn id="1" xr3:uid="{D6041EFF-E4BB-5840-AC7D-2BB58BABC4C2}" name="product_name" dataDxfId="14"/>
    <tableColumn id="2" xr3:uid="{D15034DC-AE9A-7647-A5B5-7110705D6CEB}" name="gauge" dataDxfId="13">
      <calculatedColumnFormula>B1</calculatedColumnFormula>
    </tableColumn>
    <tableColumn id="3" xr3:uid="{58ED180A-0DD1-264A-996C-5D22C782DAD1}" name="strands" dataDxfId="12">
      <calculatedColumnFormula>C1</calculatedColumnFormula>
    </tableColumn>
    <tableColumn id="4" xr3:uid="{3775277A-638E-544C-8769-9FC69F0CC070}" name="length_gaj" dataDxfId="11"/>
    <tableColumn id="5" xr3:uid="{D0ED6EC0-2494-1649-BF50-529CFCECCABD}" name="pvc_rate_per_kg" dataDxfId="10"/>
    <tableColumn id="6" xr3:uid="{096EDD42-6EED-BA47-9EAD-9297E3AD0E7E}" name="metal_rate_per_kg" dataDxfId="1">
      <calculatedColumnFormula>1350</calculatedColumnFormula>
    </tableColumn>
    <tableColumn id="7" xr3:uid="{C64CD64E-86AC-2342-8D2F-DDBBD03B30A1}" name="labour_type" dataDxfId="9">
      <calculatedColumnFormula>G1</calculatedColumnFormula>
    </tableColumn>
    <tableColumn id="8" xr3:uid="{E81F7060-135A-4E4F-9512-2CA2256806A2}" name="labour_value" dataDxfId="8"/>
    <tableColumn id="9" xr3:uid="{BB1928F8-292D-FA4D-B196-C685D738D70C}" name="coil_weight_kg" dataDxfId="7"/>
    <tableColumn id="11" xr3:uid="{D50C4C65-0C23-9243-9CBF-0C25972DD18D}" name="metal_weight_kg" dataDxfId="6">
      <calculatedColumnFormula>(B2^2*412*C2*D2)/100000000</calculatedColumnFormula>
    </tableColumn>
    <tableColumn id="12" xr3:uid="{996280DD-3E09-6F47-BC32-97D44DBA1B4F}" name="pvc_weight_kg" dataDxfId="5">
      <calculatedColumnFormula>I2-J2</calculatedColumnFormula>
    </tableColumn>
    <tableColumn id="13" xr3:uid="{A449B656-4244-FE47-91E9-7374398A010C}" name="pvc_cost" dataDxfId="4">
      <calculatedColumnFormula>K2*E2</calculatedColumnFormula>
    </tableColumn>
    <tableColumn id="14" xr3:uid="{70E800CC-8534-7942-99EF-B01431E7F46A}" name="metal_cost" dataDxfId="3">
      <calculatedColumnFormula>J2*F2</calculatedColumnFormula>
    </tableColumn>
    <tableColumn id="15" xr3:uid="{C2713499-5E47-B047-BE0C-9E014D2F21BB}" name="manufacuturing_cost" dataDxfId="2">
      <calculatedColumnFormula>(L2+M2)*(1+H2)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85" workbookViewId="0">
      <selection activeCell="F3" sqref="F3"/>
    </sheetView>
  </sheetViews>
  <sheetFormatPr baseColWidth="10" defaultColWidth="8.83203125" defaultRowHeight="15" x14ac:dyDescent="0.2"/>
  <cols>
    <col min="1" max="1" width="9.6640625" bestFit="1" customWidth="1"/>
    <col min="2" max="2" width="12.33203125" bestFit="1" customWidth="1"/>
    <col min="3" max="3" width="5.5" bestFit="1" customWidth="1"/>
    <col min="4" max="4" width="6.6640625" bestFit="1" customWidth="1"/>
    <col min="5" max="5" width="5.1640625" bestFit="1" customWidth="1"/>
    <col min="6" max="6" width="9" bestFit="1" customWidth="1"/>
    <col min="7" max="7" width="12.5" bestFit="1" customWidth="1"/>
    <col min="8" max="8" width="9.6640625" bestFit="1" customWidth="1"/>
    <col min="9" max="9" width="15.1640625" bestFit="1" customWidth="1"/>
    <col min="10" max="10" width="13.5" bestFit="1" customWidth="1"/>
    <col min="11" max="11" width="10.33203125" bestFit="1" customWidth="1"/>
    <col min="12" max="12" width="11" bestFit="1" customWidth="1"/>
    <col min="13" max="13" width="20" bestFit="1" customWidth="1"/>
    <col min="14" max="14" width="14.1640625" bestFit="1" customWidth="1"/>
    <col min="15" max="15" width="16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6</v>
      </c>
      <c r="G1" s="1" t="s">
        <v>8</v>
      </c>
      <c r="H1" s="1" t="s">
        <v>9</v>
      </c>
      <c r="I1" t="s">
        <v>5</v>
      </c>
      <c r="J1" t="s">
        <v>3</v>
      </c>
      <c r="K1" t="s">
        <v>30</v>
      </c>
      <c r="L1" s="2" t="s">
        <v>31</v>
      </c>
      <c r="M1" s="2" t="s">
        <v>32</v>
      </c>
      <c r="N1" s="2" t="s">
        <v>33</v>
      </c>
      <c r="O1" s="2" t="s">
        <v>34</v>
      </c>
    </row>
    <row r="2" spans="1:15" x14ac:dyDescent="0.2">
      <c r="A2" s="3" t="s">
        <v>10</v>
      </c>
      <c r="B2" s="4">
        <v>6.5</v>
      </c>
      <c r="C2" s="4">
        <v>12</v>
      </c>
      <c r="D2" s="4">
        <v>90</v>
      </c>
      <c r="E2" s="5">
        <v>70</v>
      </c>
      <c r="F2" s="5">
        <f>1350</f>
        <v>1350</v>
      </c>
      <c r="G2" t="s">
        <v>29</v>
      </c>
      <c r="H2" s="4">
        <f>4</f>
        <v>4</v>
      </c>
      <c r="I2" s="4">
        <v>1.2</v>
      </c>
      <c r="J2" s="7">
        <v>2</v>
      </c>
      <c r="K2" s="4">
        <f t="shared" ref="K2:K13" si="0">(B2^2*412*C2*D2*J2)/100000000</f>
        <v>0.37599120000000003</v>
      </c>
      <c r="L2" s="4">
        <f>I2-K2</f>
        <v>0.82400879999999987</v>
      </c>
      <c r="M2" s="5">
        <f t="shared" ref="M2:M13" si="1">L2*E2</f>
        <v>57.680615999999993</v>
      </c>
      <c r="N2" s="5">
        <f t="shared" ref="N2:N13" si="2">K2*F2</f>
        <v>507.58812000000006</v>
      </c>
      <c r="O2" s="8">
        <f t="shared" ref="O2:O13" si="3">(M2+N2)*(1+H2)</f>
        <v>2826.3436800000004</v>
      </c>
    </row>
    <row r="3" spans="1:15" x14ac:dyDescent="0.2">
      <c r="A3" s="3" t="s">
        <v>11</v>
      </c>
      <c r="B3" s="4">
        <f t="shared" ref="B3:G13" si="4">B2</f>
        <v>6.5</v>
      </c>
      <c r="C3" s="4">
        <f t="shared" si="4"/>
        <v>12</v>
      </c>
      <c r="D3" s="4">
        <f t="shared" si="4"/>
        <v>90</v>
      </c>
      <c r="E3" s="5">
        <f t="shared" si="4"/>
        <v>70</v>
      </c>
      <c r="F3" s="5">
        <f>1350</f>
        <v>1350</v>
      </c>
      <c r="G3" t="str">
        <f>G2</f>
        <v>percent</v>
      </c>
      <c r="H3" s="4">
        <f>4</f>
        <v>4</v>
      </c>
      <c r="I3" s="4">
        <v>1.6</v>
      </c>
      <c r="J3" s="7">
        <v>3</v>
      </c>
      <c r="K3" s="4">
        <f t="shared" si="0"/>
        <v>0.56398680000000001</v>
      </c>
      <c r="L3" s="4">
        <f t="shared" ref="L3:L13" si="5">I3-K3</f>
        <v>1.0360132000000002</v>
      </c>
      <c r="M3" s="5">
        <f t="shared" si="1"/>
        <v>72.520924000000008</v>
      </c>
      <c r="N3" s="5">
        <f t="shared" si="2"/>
        <v>761.38218000000006</v>
      </c>
      <c r="O3" s="8">
        <f t="shared" si="3"/>
        <v>4169.5155200000008</v>
      </c>
    </row>
    <row r="4" spans="1:15" x14ac:dyDescent="0.2">
      <c r="A4" s="3" t="s">
        <v>12</v>
      </c>
      <c r="B4" s="4">
        <f t="shared" si="4"/>
        <v>6.5</v>
      </c>
      <c r="C4" s="4">
        <f>C3</f>
        <v>12</v>
      </c>
      <c r="D4" s="4">
        <f t="shared" si="4"/>
        <v>90</v>
      </c>
      <c r="E4" s="5">
        <f t="shared" si="4"/>
        <v>70</v>
      </c>
      <c r="F4" s="5">
        <f>1350</f>
        <v>1350</v>
      </c>
      <c r="G4" t="str">
        <f t="shared" si="4"/>
        <v>percent</v>
      </c>
      <c r="H4" s="4">
        <f>4</f>
        <v>4</v>
      </c>
      <c r="I4" s="4">
        <v>2.4</v>
      </c>
      <c r="J4" s="7">
        <v>4</v>
      </c>
      <c r="K4" s="4">
        <f t="shared" si="0"/>
        <v>0.75198240000000005</v>
      </c>
      <c r="L4" s="4">
        <f t="shared" si="5"/>
        <v>1.6480175999999997</v>
      </c>
      <c r="M4" s="5">
        <f t="shared" si="1"/>
        <v>115.36123199999999</v>
      </c>
      <c r="N4" s="5">
        <f t="shared" si="2"/>
        <v>1015.1762400000001</v>
      </c>
      <c r="O4" s="8">
        <f t="shared" si="3"/>
        <v>5652.6873600000008</v>
      </c>
    </row>
    <row r="5" spans="1:15" x14ac:dyDescent="0.2">
      <c r="A5" s="3" t="s">
        <v>13</v>
      </c>
      <c r="B5" s="4">
        <f t="shared" si="4"/>
        <v>6.5</v>
      </c>
      <c r="C5" s="4">
        <v>22</v>
      </c>
      <c r="D5" s="4">
        <f t="shared" si="4"/>
        <v>90</v>
      </c>
      <c r="E5" s="5">
        <f t="shared" si="4"/>
        <v>70</v>
      </c>
      <c r="F5" s="5">
        <f>1350</f>
        <v>1350</v>
      </c>
      <c r="G5" t="str">
        <f t="shared" si="4"/>
        <v>percent</v>
      </c>
      <c r="H5" s="4">
        <f>4</f>
        <v>4</v>
      </c>
      <c r="I5" s="4">
        <v>2.4</v>
      </c>
      <c r="J5" s="7">
        <v>2</v>
      </c>
      <c r="K5" s="4">
        <f t="shared" si="0"/>
        <v>0.68931719999999996</v>
      </c>
      <c r="L5" s="4">
        <f t="shared" si="5"/>
        <v>1.7106827999999998</v>
      </c>
      <c r="M5" s="5">
        <f t="shared" si="1"/>
        <v>119.74779599999999</v>
      </c>
      <c r="N5" s="5">
        <f t="shared" si="2"/>
        <v>930.57821999999999</v>
      </c>
      <c r="O5" s="8">
        <f t="shared" si="3"/>
        <v>5251.6300799999999</v>
      </c>
    </row>
    <row r="6" spans="1:15" x14ac:dyDescent="0.2">
      <c r="A6" s="3" t="s">
        <v>14</v>
      </c>
      <c r="B6" s="4">
        <f t="shared" si="4"/>
        <v>6.5</v>
      </c>
      <c r="C6" s="4">
        <f>C5</f>
        <v>22</v>
      </c>
      <c r="D6" s="4">
        <f t="shared" si="4"/>
        <v>90</v>
      </c>
      <c r="E6" s="5">
        <f t="shared" si="4"/>
        <v>70</v>
      </c>
      <c r="F6" s="5">
        <f>1350</f>
        <v>1350</v>
      </c>
      <c r="G6" t="str">
        <f t="shared" si="4"/>
        <v>percent</v>
      </c>
      <c r="H6" s="4">
        <f>4</f>
        <v>4</v>
      </c>
      <c r="I6" s="4">
        <v>3.2</v>
      </c>
      <c r="J6" s="7">
        <v>3</v>
      </c>
      <c r="K6" s="4">
        <f t="shared" si="0"/>
        <v>1.0339757999999999</v>
      </c>
      <c r="L6" s="4">
        <f t="shared" si="5"/>
        <v>2.1660242000000003</v>
      </c>
      <c r="M6" s="5">
        <f t="shared" si="1"/>
        <v>151.62169400000002</v>
      </c>
      <c r="N6" s="5">
        <f t="shared" si="2"/>
        <v>1395.8673299999998</v>
      </c>
      <c r="O6" s="8">
        <f t="shared" si="3"/>
        <v>7737.4451199999985</v>
      </c>
    </row>
    <row r="7" spans="1:15" x14ac:dyDescent="0.2">
      <c r="A7" s="3" t="s">
        <v>15</v>
      </c>
      <c r="B7" s="4">
        <f t="shared" si="4"/>
        <v>6.5</v>
      </c>
      <c r="C7" s="4">
        <f>C6</f>
        <v>22</v>
      </c>
      <c r="D7" s="4">
        <f t="shared" si="4"/>
        <v>90</v>
      </c>
      <c r="E7" s="5">
        <f t="shared" si="4"/>
        <v>70</v>
      </c>
      <c r="F7" s="5">
        <f>1350</f>
        <v>1350</v>
      </c>
      <c r="G7" t="str">
        <f t="shared" si="4"/>
        <v>percent</v>
      </c>
      <c r="H7" s="4">
        <f>4</f>
        <v>4</v>
      </c>
      <c r="I7" s="4">
        <v>4.8</v>
      </c>
      <c r="J7" s="7">
        <v>4</v>
      </c>
      <c r="K7" s="4">
        <f t="shared" si="0"/>
        <v>1.3786343999999999</v>
      </c>
      <c r="L7" s="4">
        <f t="shared" si="5"/>
        <v>3.4213655999999997</v>
      </c>
      <c r="M7" s="5">
        <f t="shared" si="1"/>
        <v>239.49559199999999</v>
      </c>
      <c r="N7" s="5">
        <f t="shared" si="2"/>
        <v>1861.15644</v>
      </c>
      <c r="O7" s="8">
        <f t="shared" si="3"/>
        <v>10503.26016</v>
      </c>
    </row>
    <row r="8" spans="1:15" x14ac:dyDescent="0.2">
      <c r="A8" s="3" t="s">
        <v>16</v>
      </c>
      <c r="B8" s="4">
        <f t="shared" si="4"/>
        <v>6.5</v>
      </c>
      <c r="C8" s="4">
        <v>36</v>
      </c>
      <c r="D8" s="4">
        <f t="shared" si="4"/>
        <v>90</v>
      </c>
      <c r="E8" s="5">
        <f t="shared" si="4"/>
        <v>70</v>
      </c>
      <c r="F8" s="5">
        <f>1350</f>
        <v>1350</v>
      </c>
      <c r="G8" t="str">
        <f t="shared" si="4"/>
        <v>percent</v>
      </c>
      <c r="H8" s="4">
        <f>4</f>
        <v>4</v>
      </c>
      <c r="I8" s="4">
        <f>3.6</f>
        <v>3.6</v>
      </c>
      <c r="J8" s="7">
        <v>2</v>
      </c>
      <c r="K8" s="4">
        <f t="shared" si="0"/>
        <v>1.1279736</v>
      </c>
      <c r="L8" s="4">
        <f t="shared" si="5"/>
        <v>2.4720263999999998</v>
      </c>
      <c r="M8" s="5">
        <f t="shared" si="1"/>
        <v>173.04184799999999</v>
      </c>
      <c r="N8" s="5">
        <f t="shared" si="2"/>
        <v>1522.7643600000001</v>
      </c>
      <c r="O8" s="8">
        <f t="shared" si="3"/>
        <v>8479.0310400000017</v>
      </c>
    </row>
    <row r="9" spans="1:15" x14ac:dyDescent="0.2">
      <c r="A9" s="3" t="s">
        <v>17</v>
      </c>
      <c r="B9" s="4">
        <f t="shared" si="4"/>
        <v>6.5</v>
      </c>
      <c r="C9" s="4">
        <f>C8</f>
        <v>36</v>
      </c>
      <c r="D9" s="4">
        <f t="shared" si="4"/>
        <v>90</v>
      </c>
      <c r="E9" s="5">
        <f t="shared" si="4"/>
        <v>70</v>
      </c>
      <c r="F9" s="5">
        <f>1350</f>
        <v>1350</v>
      </c>
      <c r="G9" t="str">
        <f t="shared" si="4"/>
        <v>percent</v>
      </c>
      <c r="H9" s="4">
        <f>4</f>
        <v>4</v>
      </c>
      <c r="I9" s="4">
        <v>4.8</v>
      </c>
      <c r="J9" s="7">
        <v>3</v>
      </c>
      <c r="K9" s="4">
        <f t="shared" si="0"/>
        <v>1.6919603999999999</v>
      </c>
      <c r="L9" s="4">
        <f t="shared" si="5"/>
        <v>3.1080395999999997</v>
      </c>
      <c r="M9" s="5">
        <f t="shared" si="1"/>
        <v>217.56277199999997</v>
      </c>
      <c r="N9" s="5">
        <f t="shared" si="2"/>
        <v>2284.1465399999997</v>
      </c>
      <c r="O9" s="8">
        <f t="shared" si="3"/>
        <v>12508.546559999997</v>
      </c>
    </row>
    <row r="10" spans="1:15" x14ac:dyDescent="0.2">
      <c r="A10" s="3" t="s">
        <v>18</v>
      </c>
      <c r="B10" s="4">
        <f t="shared" si="4"/>
        <v>6.5</v>
      </c>
      <c r="C10" s="4">
        <f>C9</f>
        <v>36</v>
      </c>
      <c r="D10" s="4">
        <f t="shared" si="4"/>
        <v>90</v>
      </c>
      <c r="E10" s="5">
        <f t="shared" si="4"/>
        <v>70</v>
      </c>
      <c r="F10" s="5">
        <f>1350</f>
        <v>1350</v>
      </c>
      <c r="G10" t="str">
        <f t="shared" si="4"/>
        <v>percent</v>
      </c>
      <c r="H10" s="4">
        <f>4</f>
        <v>4</v>
      </c>
      <c r="I10" s="4">
        <v>7.2</v>
      </c>
      <c r="J10" s="7">
        <v>4</v>
      </c>
      <c r="K10" s="4">
        <f t="shared" si="0"/>
        <v>2.2559472</v>
      </c>
      <c r="L10" s="4">
        <f t="shared" si="5"/>
        <v>4.9440527999999997</v>
      </c>
      <c r="M10" s="5">
        <f t="shared" si="1"/>
        <v>346.08369599999997</v>
      </c>
      <c r="N10" s="5">
        <f t="shared" si="2"/>
        <v>3045.5287200000002</v>
      </c>
      <c r="O10" s="8">
        <f t="shared" si="3"/>
        <v>16958.062080000003</v>
      </c>
    </row>
    <row r="11" spans="1:15" x14ac:dyDescent="0.2">
      <c r="A11" s="3" t="s">
        <v>19</v>
      </c>
      <c r="B11" s="4">
        <f t="shared" si="4"/>
        <v>6.5</v>
      </c>
      <c r="C11" s="4">
        <v>56</v>
      </c>
      <c r="D11" s="4">
        <f t="shared" si="4"/>
        <v>90</v>
      </c>
      <c r="E11" s="5">
        <f t="shared" si="4"/>
        <v>70</v>
      </c>
      <c r="F11" s="5">
        <f>1350</f>
        <v>1350</v>
      </c>
      <c r="G11" t="str">
        <f t="shared" si="4"/>
        <v>percent</v>
      </c>
      <c r="H11" s="4">
        <f>4</f>
        <v>4</v>
      </c>
      <c r="I11" s="4">
        <v>4.8</v>
      </c>
      <c r="J11" s="7">
        <v>2</v>
      </c>
      <c r="K11" s="4">
        <f t="shared" si="0"/>
        <v>1.7546256</v>
      </c>
      <c r="L11" s="4">
        <f t="shared" si="5"/>
        <v>3.0453744</v>
      </c>
      <c r="M11" s="5">
        <f t="shared" si="1"/>
        <v>213.176208</v>
      </c>
      <c r="N11" s="5">
        <f t="shared" si="2"/>
        <v>2368.7445600000001</v>
      </c>
      <c r="O11" s="8">
        <f t="shared" si="3"/>
        <v>12909.60384</v>
      </c>
    </row>
    <row r="12" spans="1:15" x14ac:dyDescent="0.2">
      <c r="A12" s="3" t="s">
        <v>20</v>
      </c>
      <c r="B12" s="4">
        <f t="shared" si="4"/>
        <v>6.5</v>
      </c>
      <c r="C12" s="4">
        <f>C11</f>
        <v>56</v>
      </c>
      <c r="D12" s="4">
        <f t="shared" si="4"/>
        <v>90</v>
      </c>
      <c r="E12" s="5">
        <f t="shared" si="4"/>
        <v>70</v>
      </c>
      <c r="F12" s="5">
        <f>1350</f>
        <v>1350</v>
      </c>
      <c r="G12" t="str">
        <f t="shared" si="4"/>
        <v>percent</v>
      </c>
      <c r="H12" s="4">
        <f>4</f>
        <v>4</v>
      </c>
      <c r="I12" s="4">
        <v>6.4</v>
      </c>
      <c r="J12" s="7">
        <v>3</v>
      </c>
      <c r="K12" s="4">
        <f t="shared" si="0"/>
        <v>2.6319384000000001</v>
      </c>
      <c r="L12" s="4">
        <f t="shared" si="5"/>
        <v>3.7680616000000002</v>
      </c>
      <c r="M12" s="5">
        <f t="shared" si="1"/>
        <v>263.76431200000002</v>
      </c>
      <c r="N12" s="5">
        <f t="shared" si="2"/>
        <v>3553.1168400000001</v>
      </c>
      <c r="O12" s="8">
        <f t="shared" si="3"/>
        <v>19084.405760000001</v>
      </c>
    </row>
    <row r="13" spans="1:15" x14ac:dyDescent="0.2">
      <c r="A13" s="3" t="s">
        <v>21</v>
      </c>
      <c r="B13" s="4">
        <f t="shared" si="4"/>
        <v>6.5</v>
      </c>
      <c r="C13" s="4">
        <f>C12</f>
        <v>56</v>
      </c>
      <c r="D13" s="4">
        <f t="shared" si="4"/>
        <v>90</v>
      </c>
      <c r="E13" s="5">
        <f t="shared" si="4"/>
        <v>70</v>
      </c>
      <c r="F13" s="5">
        <f>1350</f>
        <v>1350</v>
      </c>
      <c r="G13" t="str">
        <f t="shared" si="4"/>
        <v>percent</v>
      </c>
      <c r="H13" s="4">
        <f>4</f>
        <v>4</v>
      </c>
      <c r="I13" s="4">
        <v>9.6</v>
      </c>
      <c r="J13" s="7">
        <v>4</v>
      </c>
      <c r="K13" s="4">
        <f t="shared" si="0"/>
        <v>3.5092512</v>
      </c>
      <c r="L13" s="4">
        <f t="shared" si="5"/>
        <v>6.0907488000000001</v>
      </c>
      <c r="M13" s="5">
        <f t="shared" si="1"/>
        <v>426.35241600000001</v>
      </c>
      <c r="N13" s="5">
        <f t="shared" si="2"/>
        <v>4737.4891200000002</v>
      </c>
      <c r="O13" s="8">
        <f t="shared" si="3"/>
        <v>25819.20768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zoomScale="150" workbookViewId="0">
      <selection activeCell="F14" sqref="F14"/>
    </sheetView>
  </sheetViews>
  <sheetFormatPr baseColWidth="10" defaultColWidth="8.83203125" defaultRowHeight="15" x14ac:dyDescent="0.2"/>
  <cols>
    <col min="1" max="1" width="15" bestFit="1" customWidth="1"/>
    <col min="2" max="2" width="8.1640625" bestFit="1" customWidth="1"/>
    <col min="3" max="3" width="9.1640625" bestFit="1" customWidth="1"/>
    <col min="4" max="4" width="11.6640625" bestFit="1" customWidth="1"/>
    <col min="5" max="5" width="16.33203125" bestFit="1" customWidth="1"/>
    <col min="6" max="6" width="18.1640625" bestFit="1" customWidth="1"/>
    <col min="7" max="7" width="13" bestFit="1" customWidth="1"/>
    <col min="8" max="8" width="13.6640625" bestFit="1" customWidth="1"/>
    <col min="9" max="9" width="15.1640625" bestFit="1" customWidth="1"/>
    <col min="10" max="10" width="16.83203125" bestFit="1" customWidth="1"/>
    <col min="11" max="11" width="17.5" bestFit="1" customWidth="1"/>
    <col min="12" max="12" width="12.83203125" bestFit="1" customWidth="1"/>
    <col min="13" max="13" width="14.6640625" bestFit="1" customWidth="1"/>
    <col min="14" max="14" width="22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6</v>
      </c>
      <c r="G1" s="1" t="s">
        <v>8</v>
      </c>
      <c r="H1" s="1" t="s">
        <v>9</v>
      </c>
      <c r="I1" t="s">
        <v>5</v>
      </c>
      <c r="J1" t="s">
        <v>30</v>
      </c>
      <c r="K1" s="2" t="s">
        <v>31</v>
      </c>
      <c r="L1" s="2" t="s">
        <v>32</v>
      </c>
      <c r="M1" s="2" t="s">
        <v>33</v>
      </c>
      <c r="N1" s="2" t="s">
        <v>34</v>
      </c>
    </row>
    <row r="2" spans="1:14" x14ac:dyDescent="0.2">
      <c r="A2" s="9" t="s">
        <v>22</v>
      </c>
      <c r="B2" s="10">
        <v>9.5</v>
      </c>
      <c r="C2" s="10">
        <v>8</v>
      </c>
      <c r="D2" s="10">
        <v>100</v>
      </c>
      <c r="E2" s="13">
        <v>130</v>
      </c>
      <c r="F2" s="13">
        <f>1350</f>
        <v>1350</v>
      </c>
      <c r="G2" t="s">
        <v>29</v>
      </c>
      <c r="H2" s="10">
        <v>4</v>
      </c>
      <c r="I2" s="10">
        <v>1</v>
      </c>
      <c r="J2" s="4">
        <f>(B2^2*412*C2*D2)/100000000</f>
        <v>0.29746400000000001</v>
      </c>
      <c r="K2" s="4">
        <f t="shared" ref="K2:K8" si="0">I2-J2</f>
        <v>0.70253600000000005</v>
      </c>
      <c r="L2" s="5">
        <f t="shared" ref="L2:L8" si="1">K2*E2</f>
        <v>91.32968000000001</v>
      </c>
      <c r="M2" s="5">
        <f t="shared" ref="M2:M8" si="2">J2*F2</f>
        <v>401.57640000000004</v>
      </c>
      <c r="N2" s="8">
        <f t="shared" ref="N2:N8" si="3">(L2+M2)*(1+H2)</f>
        <v>2464.5304000000001</v>
      </c>
    </row>
    <row r="3" spans="1:14" x14ac:dyDescent="0.2">
      <c r="A3" s="9" t="s">
        <v>23</v>
      </c>
      <c r="B3" s="10">
        <f>B2</f>
        <v>9.5</v>
      </c>
      <c r="C3" s="10">
        <v>14</v>
      </c>
      <c r="D3" s="10">
        <v>100</v>
      </c>
      <c r="E3" s="13">
        <v>130</v>
      </c>
      <c r="F3" s="13">
        <f>1350</f>
        <v>1350</v>
      </c>
      <c r="G3" t="str">
        <f>G2</f>
        <v>percent</v>
      </c>
      <c r="H3" s="10">
        <f>H2</f>
        <v>4</v>
      </c>
      <c r="I3" s="10">
        <v>1.2</v>
      </c>
      <c r="J3" s="4">
        <f t="shared" ref="J3:J8" si="4">(B3^2*412*C3*D3)/100000000</f>
        <v>0.52056199999999997</v>
      </c>
      <c r="K3" s="4">
        <f t="shared" si="0"/>
        <v>0.67943799999999999</v>
      </c>
      <c r="L3" s="5">
        <f t="shared" si="1"/>
        <v>88.326939999999993</v>
      </c>
      <c r="M3" s="5">
        <f t="shared" si="2"/>
        <v>702.75869999999998</v>
      </c>
      <c r="N3" s="8">
        <f t="shared" si="3"/>
        <v>3955.4282000000003</v>
      </c>
    </row>
    <row r="4" spans="1:14" x14ac:dyDescent="0.2">
      <c r="A4" s="11" t="s">
        <v>24</v>
      </c>
      <c r="B4" s="10">
        <f t="shared" ref="B4:B8" si="5">B3</f>
        <v>9.5</v>
      </c>
      <c r="C4" s="12">
        <v>22</v>
      </c>
      <c r="D4" s="10">
        <f>D3</f>
        <v>100</v>
      </c>
      <c r="E4" s="13">
        <f>E3</f>
        <v>130</v>
      </c>
      <c r="F4" s="13">
        <f>1350</f>
        <v>1350</v>
      </c>
      <c r="G4" t="str">
        <f t="shared" ref="G4:H8" si="6">G3</f>
        <v>percent</v>
      </c>
      <c r="H4" s="10">
        <f>H3</f>
        <v>4</v>
      </c>
      <c r="I4" s="12">
        <v>1.6</v>
      </c>
      <c r="J4" s="4">
        <f t="shared" si="4"/>
        <v>0.81802600000000003</v>
      </c>
      <c r="K4" s="4">
        <f t="shared" si="0"/>
        <v>0.78197400000000006</v>
      </c>
      <c r="L4" s="5">
        <f t="shared" si="1"/>
        <v>101.65662</v>
      </c>
      <c r="M4" s="5">
        <f t="shared" si="2"/>
        <v>1104.3351</v>
      </c>
      <c r="N4" s="8">
        <f t="shared" si="3"/>
        <v>6029.9585999999999</v>
      </c>
    </row>
    <row r="5" spans="1:14" x14ac:dyDescent="0.2">
      <c r="A5" s="9" t="s">
        <v>25</v>
      </c>
      <c r="B5" s="10">
        <f t="shared" si="5"/>
        <v>9.5</v>
      </c>
      <c r="C5" s="10">
        <v>36</v>
      </c>
      <c r="D5" s="10">
        <f t="shared" ref="D5:E8" si="7">D4</f>
        <v>100</v>
      </c>
      <c r="E5" s="13">
        <f t="shared" si="7"/>
        <v>130</v>
      </c>
      <c r="F5" s="13">
        <f>1350</f>
        <v>1350</v>
      </c>
      <c r="G5" t="str">
        <f t="shared" si="6"/>
        <v>percent</v>
      </c>
      <c r="H5" s="10">
        <f t="shared" si="6"/>
        <v>4</v>
      </c>
      <c r="I5" s="10">
        <v>2.4</v>
      </c>
      <c r="J5" s="4">
        <f t="shared" si="4"/>
        <v>1.3385879999999999</v>
      </c>
      <c r="K5" s="4">
        <f t="shared" si="0"/>
        <v>1.061412</v>
      </c>
      <c r="L5" s="5">
        <f t="shared" si="1"/>
        <v>137.98356000000001</v>
      </c>
      <c r="M5" s="5">
        <f t="shared" si="2"/>
        <v>1807.0937999999999</v>
      </c>
      <c r="N5" s="8">
        <f t="shared" si="3"/>
        <v>9725.3867999999984</v>
      </c>
    </row>
    <row r="6" spans="1:14" x14ac:dyDescent="0.2">
      <c r="A6" s="11" t="s">
        <v>26</v>
      </c>
      <c r="B6" s="10">
        <f t="shared" si="5"/>
        <v>9.5</v>
      </c>
      <c r="C6" s="12">
        <v>56</v>
      </c>
      <c r="D6" s="10">
        <f t="shared" si="7"/>
        <v>100</v>
      </c>
      <c r="E6" s="13">
        <f t="shared" si="7"/>
        <v>130</v>
      </c>
      <c r="F6" s="13">
        <f>1350</f>
        <v>1350</v>
      </c>
      <c r="G6" t="str">
        <f t="shared" si="6"/>
        <v>percent</v>
      </c>
      <c r="H6" s="10">
        <f t="shared" si="6"/>
        <v>4</v>
      </c>
      <c r="I6" s="12">
        <v>3.4</v>
      </c>
      <c r="J6" s="4">
        <f t="shared" si="4"/>
        <v>2.0822479999999999</v>
      </c>
      <c r="K6" s="4">
        <f t="shared" si="0"/>
        <v>1.317752</v>
      </c>
      <c r="L6" s="5">
        <f t="shared" si="1"/>
        <v>171.30776</v>
      </c>
      <c r="M6" s="5">
        <f t="shared" si="2"/>
        <v>2811.0347999999999</v>
      </c>
      <c r="N6" s="8">
        <f t="shared" si="3"/>
        <v>14911.712800000001</v>
      </c>
    </row>
    <row r="7" spans="1:14" x14ac:dyDescent="0.2">
      <c r="A7" s="9" t="s">
        <v>27</v>
      </c>
      <c r="B7" s="10">
        <f t="shared" si="5"/>
        <v>9.5</v>
      </c>
      <c r="C7" s="10">
        <v>84</v>
      </c>
      <c r="D7" s="10">
        <f t="shared" si="7"/>
        <v>100</v>
      </c>
      <c r="E7" s="13">
        <f t="shared" si="7"/>
        <v>130</v>
      </c>
      <c r="F7" s="13">
        <f>1350</f>
        <v>1350</v>
      </c>
      <c r="G7" t="str">
        <f t="shared" si="6"/>
        <v>percent</v>
      </c>
      <c r="H7" s="10">
        <f t="shared" si="6"/>
        <v>4</v>
      </c>
      <c r="I7" s="10">
        <v>5.6</v>
      </c>
      <c r="J7" s="4">
        <f t="shared" si="4"/>
        <v>3.1233719999999998</v>
      </c>
      <c r="K7" s="4">
        <f t="shared" si="0"/>
        <v>2.4766279999999998</v>
      </c>
      <c r="L7" s="5">
        <f t="shared" si="1"/>
        <v>321.96163999999999</v>
      </c>
      <c r="M7" s="5">
        <f t="shared" si="2"/>
        <v>4216.5522000000001</v>
      </c>
      <c r="N7" s="8">
        <f t="shared" si="3"/>
        <v>22692.569199999998</v>
      </c>
    </row>
    <row r="8" spans="1:14" x14ac:dyDescent="0.2">
      <c r="A8" s="11" t="s">
        <v>28</v>
      </c>
      <c r="B8" s="10">
        <f t="shared" si="5"/>
        <v>9.5</v>
      </c>
      <c r="C8" s="10">
        <v>140</v>
      </c>
      <c r="D8" s="10">
        <f t="shared" si="7"/>
        <v>100</v>
      </c>
      <c r="E8" s="13">
        <f t="shared" si="7"/>
        <v>130</v>
      </c>
      <c r="F8" s="13">
        <f>1350</f>
        <v>1350</v>
      </c>
      <c r="G8" t="str">
        <f t="shared" si="6"/>
        <v>percent</v>
      </c>
      <c r="H8" s="10">
        <f t="shared" si="6"/>
        <v>4</v>
      </c>
      <c r="I8" s="10">
        <v>8.5</v>
      </c>
      <c r="J8" s="4">
        <f t="shared" si="4"/>
        <v>5.2056199999999997</v>
      </c>
      <c r="K8" s="4">
        <f t="shared" si="0"/>
        <v>3.2943800000000003</v>
      </c>
      <c r="L8" s="5">
        <f t="shared" si="1"/>
        <v>428.26940000000002</v>
      </c>
      <c r="M8" s="5">
        <f t="shared" si="2"/>
        <v>7027.5869999999995</v>
      </c>
      <c r="N8" s="8">
        <f t="shared" si="3"/>
        <v>37279.281999999999</v>
      </c>
    </row>
    <row r="9" spans="1:14" x14ac:dyDescent="0.2">
      <c r="A9" s="3"/>
      <c r="B9" s="4"/>
      <c r="C9" s="4"/>
      <c r="D9" s="4"/>
      <c r="E9" s="5"/>
      <c r="F9" s="5"/>
      <c r="H9" s="6"/>
      <c r="I9" s="4"/>
      <c r="J9" s="4"/>
      <c r="K9" s="4"/>
      <c r="L9" s="5"/>
      <c r="M9" s="5"/>
      <c r="N9" s="8"/>
    </row>
    <row r="10" spans="1:14" x14ac:dyDescent="0.2">
      <c r="A10" s="3"/>
      <c r="B10" s="4"/>
      <c r="C10" s="4"/>
      <c r="D10" s="4"/>
      <c r="E10" s="5"/>
      <c r="F10" s="5"/>
      <c r="H10" s="6"/>
      <c r="I10" s="4"/>
      <c r="J10" s="4"/>
      <c r="K10" s="4"/>
      <c r="L10" s="5"/>
      <c r="M10" s="5"/>
      <c r="N10" s="8"/>
    </row>
    <row r="11" spans="1:14" x14ac:dyDescent="0.2">
      <c r="A11" s="3"/>
      <c r="B11" s="4"/>
      <c r="C11" s="4"/>
      <c r="D11" s="4"/>
      <c r="E11" s="5"/>
      <c r="F11" s="5"/>
      <c r="H11" s="6"/>
      <c r="I11" s="4"/>
      <c r="J11" s="4"/>
      <c r="K11" s="4"/>
      <c r="L11" s="5"/>
      <c r="M11" s="5"/>
      <c r="N11" s="8"/>
    </row>
    <row r="12" spans="1:14" x14ac:dyDescent="0.2">
      <c r="A12" s="3"/>
      <c r="B12" s="4"/>
      <c r="C12" s="4"/>
      <c r="D12" s="4"/>
      <c r="E12" s="5"/>
      <c r="F12" s="5"/>
      <c r="H12" s="6"/>
      <c r="I12" s="4"/>
      <c r="J12" s="4"/>
      <c r="K12" s="4"/>
      <c r="L12" s="5"/>
      <c r="M12" s="5"/>
      <c r="N12" s="8"/>
    </row>
    <row r="13" spans="1:14" x14ac:dyDescent="0.2">
      <c r="A13" s="3"/>
      <c r="B13" s="4"/>
      <c r="C13" s="4"/>
      <c r="D13" s="4"/>
      <c r="E13" s="5"/>
      <c r="F13" s="5"/>
      <c r="H13" s="6"/>
      <c r="I13" s="4"/>
      <c r="J13" s="4"/>
      <c r="K13" s="4"/>
      <c r="L13" s="5"/>
      <c r="M13" s="5"/>
      <c r="N13" s="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Multicore Copper Cable</vt:lpstr>
      <vt:lpstr>Multistrand Copper Wire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Garg</cp:lastModifiedBy>
  <dcterms:created xsi:type="dcterms:W3CDTF">2026-01-11T06:33:29Z</dcterms:created>
  <dcterms:modified xsi:type="dcterms:W3CDTF">2026-01-11T13:12:50Z</dcterms:modified>
</cp:coreProperties>
</file>